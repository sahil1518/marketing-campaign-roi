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hil\Desktop\"/>
    </mc:Choice>
  </mc:AlternateContent>
  <xr:revisionPtr revIDLastSave="0" documentId="13_ncr:1_{F0E2CD0A-4B4B-4C6F-AE4A-0D0F881F0E64}" xr6:coauthVersionLast="47" xr6:coauthVersionMax="47" xr10:uidLastSave="{00000000-0000-0000-0000-000000000000}"/>
  <bookViews>
    <workbookView xWindow="-96" yWindow="0" windowWidth="11712" windowHeight="13056" xr2:uid="{8FB24216-C39A-4BF0-A970-48AE97B8A498}"/>
  </bookViews>
  <sheets>
    <sheet name="Chart" sheetId="3" r:id="rId1"/>
    <sheet name=" A B Test Calculator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1" l="1"/>
  <c r="C7" i="1"/>
  <c r="C8" i="1"/>
  <c r="C9" i="1"/>
  <c r="B7" i="1"/>
  <c r="B5" i="1"/>
</calcChain>
</file>

<file path=xl/sharedStrings.xml><?xml version="1.0" encoding="utf-8"?>
<sst xmlns="http://schemas.openxmlformats.org/spreadsheetml/2006/main" count="22" uniqueCount="17">
  <si>
    <t xml:space="preserve"> Metric</t>
  </si>
  <si>
    <t>Version A</t>
  </si>
  <si>
    <t>Version B</t>
  </si>
  <si>
    <t xml:space="preserve"> Campaign Name</t>
  </si>
  <si>
    <t>Email Standard</t>
  </si>
  <si>
    <t>Email Personalised</t>
  </si>
  <si>
    <t>Visitors</t>
  </si>
  <si>
    <t>Conversions</t>
  </si>
  <si>
    <t>Conversion Rate</t>
  </si>
  <si>
    <t>Revenue per Conversion</t>
  </si>
  <si>
    <t>Total Revenue</t>
  </si>
  <si>
    <t>Uplift %</t>
  </si>
  <si>
    <t>Winner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</si>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</sst>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9" fontId="0" fillId="0" borderId="0" xfId="1" applyFont="1"/>
    <xf numFmtId="169" fontId="0" fillId="0" borderId="0" xfId="0" applyNumberFormat="1"/>
    <xf numFmtId="0" fontId="0" fillId="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calcChain" Target="calcChain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Conversion Rate Comparison A vs B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80314960629922"/>
          <c:y val="0.16245370370370371"/>
          <c:w val="0.83629636920384953"/>
          <c:h val="0.537677529892096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 A B Test Calculator'!$A$3</c:f>
              <c:strCache>
                <c:ptCount val="1"/>
                <c:pt idx="0">
                  <c:v>Visitors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 A B Test Calculator'!$B$1:$C$2</c:f>
              <c:multiLvlStrCache>
                <c:ptCount val="2"/>
                <c:lvl>
                  <c:pt idx="0">
                    <c:v>Email Standard</c:v>
                  </c:pt>
                  <c:pt idx="1">
                    <c:v>Email Personalised</c:v>
                  </c:pt>
                </c:lvl>
                <c:lvl>
                  <c:pt idx="0">
                    <c:v>Version A</c:v>
                  </c:pt>
                  <c:pt idx="1">
                    <c:v>Version B</c:v>
                  </c:pt>
                </c:lvl>
              </c:multiLvlStrCache>
            </c:multiLvlStrRef>
          </c:cat>
          <c:val>
            <c:numRef>
              <c:f>' A B Test Calculator'!$B$3:$C$3</c:f>
              <c:numCache>
                <c:formatCode>General</c:formatCode>
                <c:ptCount val="2"/>
                <c:pt idx="0">
                  <c:v>5000</c:v>
                </c:pt>
                <c:pt idx="1">
                  <c:v>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90-430B-BD10-4DF45044BE44}"/>
            </c:ext>
          </c:extLst>
        </c:ser>
        <c:ser>
          <c:idx val="1"/>
          <c:order val="1"/>
          <c:tx>
            <c:strRef>
              <c:f>' A B Test Calculator'!$A$4</c:f>
              <c:strCache>
                <c:ptCount val="1"/>
                <c:pt idx="0">
                  <c:v>Conversions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 A B Test Calculator'!$B$1:$C$2</c:f>
              <c:multiLvlStrCache>
                <c:ptCount val="2"/>
                <c:lvl>
                  <c:pt idx="0">
                    <c:v>Email Standard</c:v>
                  </c:pt>
                  <c:pt idx="1">
                    <c:v>Email Personalised</c:v>
                  </c:pt>
                </c:lvl>
                <c:lvl>
                  <c:pt idx="0">
                    <c:v>Version A</c:v>
                  </c:pt>
                  <c:pt idx="1">
                    <c:v>Version B</c:v>
                  </c:pt>
                </c:lvl>
              </c:multiLvlStrCache>
            </c:multiLvlStrRef>
          </c:cat>
          <c:val>
            <c:numRef>
              <c:f>' A B Test Calculator'!$B$4:$C$4</c:f>
              <c:numCache>
                <c:formatCode>General</c:formatCode>
                <c:ptCount val="2"/>
                <c:pt idx="0">
                  <c:v>250</c:v>
                </c:pt>
                <c:pt idx="1">
                  <c:v>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90-430B-BD10-4DF45044B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5549344"/>
        <c:axId val="695556544"/>
      </c:barChart>
      <c:lineChart>
        <c:grouping val="standard"/>
        <c:varyColors val="0"/>
        <c:ser>
          <c:idx val="2"/>
          <c:order val="2"/>
          <c:tx>
            <c:strRef>
              <c:f>' A B Test Calculator'!$A$5</c:f>
              <c:strCache>
                <c:ptCount val="1"/>
                <c:pt idx="0">
                  <c:v>Conversion Rate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 A B Test Calculator'!$B$1:$C$2</c:f>
              <c:multiLvlStrCache>
                <c:ptCount val="2"/>
                <c:lvl>
                  <c:pt idx="0">
                    <c:v>Email Standard</c:v>
                  </c:pt>
                  <c:pt idx="1">
                    <c:v>Email Personalised</c:v>
                  </c:pt>
                </c:lvl>
                <c:lvl>
                  <c:pt idx="0">
                    <c:v>Version A</c:v>
                  </c:pt>
                  <c:pt idx="1">
                    <c:v>Version B</c:v>
                  </c:pt>
                </c:lvl>
              </c:multiLvlStrCache>
            </c:multiLvlStrRef>
          </c:cat>
          <c:val>
            <c:numRef>
              <c:f>' A B Test Calculator'!$B$5:$C$5</c:f>
              <c:numCache>
                <c:formatCode>0%</c:formatCode>
                <c:ptCount val="2"/>
                <c:pt idx="0">
                  <c:v>0.05</c:v>
                </c:pt>
                <c:pt idx="1">
                  <c:v>6.2E-2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F90-430B-BD10-4DF45044B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5552224"/>
        <c:axId val="695558464"/>
      </c:lineChart>
      <c:catAx>
        <c:axId val="69554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6544"/>
        <c:crosses val="autoZero"/>
        <c:auto val="1"/>
        <c:lblAlgn val="ctr"/>
        <c:lblOffset val="100"/>
        <c:noMultiLvlLbl val="0"/>
      </c:catAx>
      <c:valAx>
        <c:axId val="69555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49344"/>
        <c:crosses val="autoZero"/>
        <c:crossBetween val="between"/>
      </c:valAx>
      <c:valAx>
        <c:axId val="695558464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552224"/>
        <c:crosses val="max"/>
        <c:crossBetween val="between"/>
      </c:valAx>
      <c:catAx>
        <c:axId val="6955522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9555846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57604E-78BD-4068-B3AA-B13601C38BCB}">
  <sheetPr/>
  <sheetViews>
    <sheetView tabSelected="1" zoomScale="81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815" cy="62747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026AAD-3B01-A2DC-5ADE-B713E70CEC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3369-858C-4FE5-91CC-6A314CA7F131}">
  <dimension ref="A1:C9"/>
  <sheetViews>
    <sheetView topLeftCell="A3" workbookViewId="0">
      <selection sqref="A1:C5"/>
    </sheetView>
  </sheetViews>
  <sheetFormatPr defaultRowHeight="14.4" x14ac:dyDescent="0.3"/>
  <cols>
    <col min="1" max="1" width="21" customWidth="1"/>
    <col min="2" max="2" width="18" customWidth="1"/>
    <col min="3" max="3" width="16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t="s">
        <v>6</v>
      </c>
      <c r="B3">
        <v>5000</v>
      </c>
      <c r="C3">
        <v>5000</v>
      </c>
    </row>
    <row r="4" spans="1:3" x14ac:dyDescent="0.3">
      <c r="A4" t="s">
        <v>7</v>
      </c>
      <c r="B4">
        <v>250</v>
      </c>
      <c r="C4">
        <v>310</v>
      </c>
    </row>
    <row r="5" spans="1:3" x14ac:dyDescent="0.3">
      <c r="A5" t="s">
        <v>8</v>
      </c>
      <c r="B5" s="2">
        <f>B4/B3</f>
        <v>0.05</v>
      </c>
      <c r="C5" s="2">
        <f>C4/C3</f>
        <v>6.2E-2</v>
      </c>
    </row>
    <row r="6" spans="1:3" x14ac:dyDescent="0.3">
      <c r="A6" t="s">
        <v>9</v>
      </c>
      <c r="B6">
        <v>450</v>
      </c>
      <c r="C6">
        <v>490</v>
      </c>
    </row>
    <row r="7" spans="1:3" x14ac:dyDescent="0.3">
      <c r="A7" t="s">
        <v>10</v>
      </c>
      <c r="B7" s="3">
        <f>B4*B6</f>
        <v>112500</v>
      </c>
      <c r="C7" s="3">
        <f>C4*C6</f>
        <v>151900</v>
      </c>
    </row>
    <row r="8" spans="1:3" x14ac:dyDescent="0.3">
      <c r="A8" t="s">
        <v>11</v>
      </c>
      <c r="B8">
        <v>0</v>
      </c>
      <c r="C8">
        <f>(C5-B5)/B5*100</f>
        <v>23.999999999999993</v>
      </c>
    </row>
    <row r="9" spans="1:3" x14ac:dyDescent="0.3">
      <c r="A9" t="s">
        <v>12</v>
      </c>
      <c r="C9" s="4" t="str">
        <f>IF(C5&gt;B5,"Version B Wins","Version A Wins")</f>
        <v>Version B Wins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5CC32-92FF-43D9-95D7-C9A64AC6EB5A}">
  <dimension ref="A1"/>
  <sheetViews>
    <sheetView topLeftCell="G1" workbookViewId="0">
      <selection activeCell="G22" sqref="G22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 A B Test Calculator</vt:lpstr>
      <vt:lpstr>Sheet2</vt:lpstr>
      <vt:lpstr>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Babun shil</dc:creator>
  <cp:lastModifiedBy>Sahil  jha</cp:lastModifiedBy>
  <dcterms:created xsi:type="dcterms:W3CDTF">2026-06-06T09:33:51Z</dcterms:created>
  <dcterms:modified xsi:type="dcterms:W3CDTF">2026-06-06T10:02:29Z</dcterms:modified>
</cp:coreProperties>
</file>